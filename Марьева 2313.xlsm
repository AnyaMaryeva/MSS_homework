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" l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F16" i="1"/>
  <c r="C5" i="1"/>
  <c r="AI14" i="1"/>
  <c r="E14" i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F13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<sst xmlns="http://schemas.openxmlformats.org/spreadsheetml/2006/main" count="12" uniqueCount="11">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</sst>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9" formatCode="0.000_ ;\-0.000\ "/>
    <numFmt numFmtId="170" formatCode="0.0;[Red]0.0"/>
    <numFmt numFmtId="172" formatCode="0.0000_ ;\-0.0000\ "/>
    <numFmt numFmtId="175" formatCode="0.0000"/>
    <numFmt numFmtId="177" formatCode="0_ ;\-0\ 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169" fontId="0" fillId="0" borderId="0" xfId="0" applyNumberFormat="1"/>
    <xf numFmtId="177" fontId="0" fillId="0" borderId="0" xfId="0" applyNumberFormat="1"/>
    <xf numFmtId="0" fontId="0" fillId="0" borderId="1" xfId="0" applyBorder="1" applyAlignment="1">
      <alignment horizontal="center" vertical="center"/>
    </xf>
    <xf numFmtId="175" fontId="0" fillId="0" borderId="1" xfId="0" applyNumberFormat="1" applyBorder="1"/>
    <xf numFmtId="172" fontId="0" fillId="0" borderId="1" xfId="0" applyNumberFormat="1" applyBorder="1"/>
    <xf numFmtId="177" fontId="0" fillId="0" borderId="0" xfId="0" applyNumberFormat="1" applyAlignment="1">
      <alignment horizontal="center"/>
    </xf>
    <xf numFmtId="0" fontId="0" fillId="0" borderId="1" xfId="0" applyBorder="1"/>
    <xf numFmtId="170" fontId="0" fillId="0" borderId="1" xfId="0" applyNumberFormat="1" applyBorder="1"/>
    <xf numFmtId="169" fontId="0" fillId="0" borderId="1" xfId="0" applyNumberFormat="1" applyBorder="1"/>
    <xf numFmtId="177" fontId="0" fillId="0" borderId="1" xfId="0" applyNumberFormat="1" applyBorder="1"/>
    <xf numFmtId="0" fontId="0" fillId="0" borderId="0" xfId="0" applyBorder="1"/>
    <xf numFmtId="169" fontId="0" fillId="0" borderId="0" xfId="0" applyNumberFormat="1" applyBorder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9370078740169E-2"/>
          <c:y val="0.1462846310877807"/>
          <c:w val="0.849759186351706"/>
          <c:h val="0.7773611111111110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Лист1!$E$13:$AI$13</c:f>
              <c:numCache>
                <c:formatCode>0.0000_ ;\-0.0000\ 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Лист1!$E$14:$AI$14</c:f>
              <c:numCache>
                <c:formatCode>General</c:formatCode>
                <c:ptCount val="31"/>
                <c:pt idx="0" formatCode="0_ ;\-0\ ">
                  <c:v>300</c:v>
                </c:pt>
                <c:pt idx="1">
                  <c:v>293.33333331209622</c:v>
                </c:pt>
                <c:pt idx="2">
                  <c:v>286.6666666246565</c:v>
                </c:pt>
                <c:pt idx="3">
                  <c:v>279.99999993721673</c:v>
                </c:pt>
                <c:pt idx="4">
                  <c:v>273.33333325114893</c:v>
                </c:pt>
                <c:pt idx="5">
                  <c:v>266.66666656508119</c:v>
                </c:pt>
                <c:pt idx="6">
                  <c:v>259.99999988123335</c:v>
                </c:pt>
                <c:pt idx="7">
                  <c:v>253.33333319738551</c:v>
                </c:pt>
                <c:pt idx="8">
                  <c:v>246.66666651650843</c:v>
                </c:pt>
                <c:pt idx="9">
                  <c:v>239.99999983563134</c:v>
                </c:pt>
                <c:pt idx="10">
                  <c:v>233.33333315834614</c:v>
                </c:pt>
                <c:pt idx="11">
                  <c:v>226.6666664810609</c:v>
                </c:pt>
                <c:pt idx="12">
                  <c:v>219.99999980783161</c:v>
                </c:pt>
                <c:pt idx="13">
                  <c:v>213.3333331346023</c:v>
                </c:pt>
                <c:pt idx="14">
                  <c:v>206.66666646571574</c:v>
                </c:pt>
                <c:pt idx="15">
                  <c:v>199.99999979682917</c:v>
                </c:pt>
                <c:pt idx="16">
                  <c:v>193.33333313238239</c:v>
                </c:pt>
                <c:pt idx="17">
                  <c:v>186.66666646793561</c:v>
                </c:pt>
                <c:pt idx="18">
                  <c:v>179.99999980783159</c:v>
                </c:pt>
                <c:pt idx="19">
                  <c:v>173.33333314772756</c:v>
                </c:pt>
                <c:pt idx="20">
                  <c:v>166.66666649167945</c:v>
                </c:pt>
                <c:pt idx="21">
                  <c:v>159.99999983563137</c:v>
                </c:pt>
                <c:pt idx="22">
                  <c:v>153.33333318317511</c:v>
                </c:pt>
                <c:pt idx="23">
                  <c:v>146.66666653071889</c:v>
                </c:pt>
                <c:pt idx="24">
                  <c:v>139.99999988123341</c:v>
                </c:pt>
                <c:pt idx="25">
                  <c:v>133.33333323174793</c:v>
                </c:pt>
                <c:pt idx="26">
                  <c:v>126.66666658448234</c:v>
                </c:pt>
                <c:pt idx="27">
                  <c:v>119.99999993721677</c:v>
                </c:pt>
                <c:pt idx="28">
                  <c:v>113.33333329132316</c:v>
                </c:pt>
                <c:pt idx="29">
                  <c:v>106.66666664542953</c:v>
                </c:pt>
                <c:pt idx="30" formatCode="0_ ;\-0\ 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FA-497D-96EF-A5100E7D6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121656"/>
        <c:axId val="507121984"/>
      </c:scatterChart>
      <c:valAx>
        <c:axId val="5071216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7121984"/>
        <c:crosses val="autoZero"/>
        <c:crossBetween val="midCat"/>
      </c:valAx>
      <c:valAx>
        <c:axId val="507121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;\-0.0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712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601980</xdr:colOff>
      <xdr:row>17</xdr:row>
      <xdr:rowOff>3810</xdr:rowOff>
    </xdr:from>
    <xdr:to>
      <xdr:col>10</xdr:col>
      <xdr:colOff>7620</xdr:colOff>
      <xdr:row>37</xdr:row>
      <xdr:rowOff>30480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38100</xdr:colOff>
      <xdr:row>17</xdr:row>
      <xdr:rowOff>175260</xdr:rowOff>
    </xdr:from>
    <xdr:ext cx="250518" cy="172227"/>
    <xdr:sp macro="" textlink="">
      <xdr:nvSpPr>
        <xdr:cNvPr id="3" name="TextBox 2"/>
        <xdr:cNvSpPr txBox="1"/>
      </xdr:nvSpPr>
      <xdr:spPr>
        <a:xfrm>
          <a:off x="2705100" y="3284220"/>
          <a:ext cx="25051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100" i="1"/>
            <a:t>T.[c]</a:t>
          </a:r>
          <a:endParaRPr lang="ru-RU" sz="1100" i="1"/>
        </a:p>
      </xdr:txBody>
    </xdr:sp>
    <xdr:clientData/>
  </xdr:oneCellAnchor>
  <xdr:oneCellAnchor>
    <xdr:from>
      <xdr:col>9</xdr:col>
      <xdr:colOff>251460</xdr:colOff>
      <xdr:row>35</xdr:row>
      <xdr:rowOff>152400</xdr:rowOff>
    </xdr:from>
    <xdr:ext cx="38164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5966460" y="6553200"/>
              <a:ext cx="38164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.[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5966460" y="6553200"/>
              <a:ext cx="38164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𝐿.[𝑚]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I16"/>
  <sheetViews>
    <sheetView tabSelected="1" workbookViewId="0">
      <selection activeCell="H9" sqref="H9"/>
    </sheetView>
  </sheetViews>
  <sheetFormatPr defaultRowHeight="14.4" x14ac:dyDescent="0.3"/>
  <cols>
    <col min="3" max="3" width="12.21875" style="2" customWidth="1"/>
  </cols>
  <sheetData>
    <row r="3" spans="1:35" x14ac:dyDescent="0.3">
      <c r="B3" s="8" t="s">
        <v>0</v>
      </c>
      <c r="C3" s="9">
        <v>0.1</v>
      </c>
    </row>
    <row r="4" spans="1:35" x14ac:dyDescent="0.3">
      <c r="B4" s="8" t="s">
        <v>1</v>
      </c>
      <c r="C4" s="10">
        <f>C3/30</f>
        <v>3.3333333333333335E-3</v>
      </c>
    </row>
    <row r="5" spans="1:35" x14ac:dyDescent="0.3">
      <c r="B5" s="8" t="s">
        <v>2</v>
      </c>
      <c r="C5" s="10">
        <f>(C9*C8*C4^2)/(2*C10)</f>
        <v>0.4333333333333334</v>
      </c>
    </row>
    <row r="6" spans="1:35" x14ac:dyDescent="0.3">
      <c r="B6" s="8" t="s">
        <v>3</v>
      </c>
      <c r="C6" s="11">
        <v>60</v>
      </c>
      <c r="D6">
        <v>0</v>
      </c>
    </row>
    <row r="7" spans="1:35" x14ac:dyDescent="0.3">
      <c r="A7" s="12"/>
      <c r="B7" s="12"/>
      <c r="C7" s="13"/>
      <c r="D7" s="12"/>
    </row>
    <row r="8" spans="1:35" x14ac:dyDescent="0.3">
      <c r="B8" s="8" t="s">
        <v>4</v>
      </c>
      <c r="C8" s="11">
        <v>460</v>
      </c>
    </row>
    <row r="9" spans="1:35" x14ac:dyDescent="0.3">
      <c r="B9" s="8" t="s">
        <v>5</v>
      </c>
      <c r="C9" s="11">
        <v>7800</v>
      </c>
    </row>
    <row r="10" spans="1:35" x14ac:dyDescent="0.3">
      <c r="B10" s="8" t="s">
        <v>6</v>
      </c>
      <c r="C10" s="11">
        <v>46</v>
      </c>
    </row>
    <row r="11" spans="1:35" x14ac:dyDescent="0.3">
      <c r="A11" s="12"/>
      <c r="B11" s="12"/>
      <c r="C11" s="13"/>
      <c r="D11" s="12"/>
    </row>
    <row r="12" spans="1:35" x14ac:dyDescent="0.3">
      <c r="B12" s="8" t="s">
        <v>8</v>
      </c>
      <c r="C12" s="11">
        <v>300</v>
      </c>
      <c r="E12" s="4">
        <v>1</v>
      </c>
      <c r="F12" s="4">
        <v>2</v>
      </c>
      <c r="G12" s="4">
        <v>3</v>
      </c>
      <c r="H12" s="4">
        <v>4</v>
      </c>
      <c r="I12" s="4">
        <v>5</v>
      </c>
      <c r="J12" s="4">
        <v>6</v>
      </c>
      <c r="K12" s="4">
        <v>7</v>
      </c>
      <c r="L12" s="4">
        <v>8</v>
      </c>
      <c r="M12" s="4">
        <v>9</v>
      </c>
      <c r="N12" s="4">
        <v>10</v>
      </c>
      <c r="O12" s="4">
        <v>11</v>
      </c>
      <c r="P12" s="4">
        <v>12</v>
      </c>
      <c r="Q12" s="4">
        <v>13</v>
      </c>
      <c r="R12" s="4">
        <v>14</v>
      </c>
      <c r="S12" s="4">
        <v>15</v>
      </c>
      <c r="T12" s="4">
        <v>16</v>
      </c>
      <c r="U12" s="4">
        <v>17</v>
      </c>
      <c r="V12" s="4">
        <v>18</v>
      </c>
      <c r="W12" s="4">
        <v>19</v>
      </c>
      <c r="X12" s="4">
        <v>20</v>
      </c>
      <c r="Y12" s="4">
        <v>21</v>
      </c>
      <c r="Z12" s="4">
        <v>22</v>
      </c>
      <c r="AA12" s="4">
        <v>23</v>
      </c>
      <c r="AB12" s="4">
        <v>24</v>
      </c>
      <c r="AC12" s="4">
        <v>25</v>
      </c>
      <c r="AD12" s="4">
        <v>26</v>
      </c>
      <c r="AE12" s="4">
        <v>27</v>
      </c>
      <c r="AF12" s="4">
        <v>28</v>
      </c>
      <c r="AG12" s="4">
        <v>29</v>
      </c>
      <c r="AH12" s="4">
        <v>30</v>
      </c>
      <c r="AI12" s="4">
        <v>31</v>
      </c>
    </row>
    <row r="13" spans="1:35" x14ac:dyDescent="0.3">
      <c r="B13" s="8" t="s">
        <v>9</v>
      </c>
      <c r="C13" s="11">
        <v>100</v>
      </c>
      <c r="D13" t="s">
        <v>0</v>
      </c>
      <c r="E13" s="5">
        <v>0</v>
      </c>
      <c r="F13" s="6">
        <f>E13+$C$4</f>
        <v>3.3333333333333335E-3</v>
      </c>
      <c r="G13" s="6">
        <f t="shared" ref="G13:AI13" si="0">F13+$C$4</f>
        <v>6.6666666666666671E-3</v>
      </c>
      <c r="H13" s="6">
        <f t="shared" si="0"/>
        <v>0.01</v>
      </c>
      <c r="I13" s="6">
        <f t="shared" si="0"/>
        <v>1.3333333333333334E-2</v>
      </c>
      <c r="J13" s="6">
        <f t="shared" si="0"/>
        <v>1.6666666666666666E-2</v>
      </c>
      <c r="K13" s="6">
        <f t="shared" si="0"/>
        <v>0.02</v>
      </c>
      <c r="L13" s="6">
        <f t="shared" si="0"/>
        <v>2.3333333333333334E-2</v>
      </c>
      <c r="M13" s="6">
        <f t="shared" si="0"/>
        <v>2.6666666666666668E-2</v>
      </c>
      <c r="N13" s="6">
        <f t="shared" si="0"/>
        <v>3.0000000000000002E-2</v>
      </c>
      <c r="O13" s="6">
        <f t="shared" si="0"/>
        <v>3.3333333333333333E-2</v>
      </c>
      <c r="P13" s="6">
        <f t="shared" si="0"/>
        <v>3.6666666666666667E-2</v>
      </c>
      <c r="Q13" s="6">
        <f t="shared" si="0"/>
        <v>0.04</v>
      </c>
      <c r="R13" s="6">
        <f t="shared" si="0"/>
        <v>4.3333333333333335E-2</v>
      </c>
      <c r="S13" s="6">
        <f t="shared" si="0"/>
        <v>4.6666666666666669E-2</v>
      </c>
      <c r="T13" s="6">
        <f t="shared" si="0"/>
        <v>0.05</v>
      </c>
      <c r="U13" s="6">
        <f t="shared" si="0"/>
        <v>5.3333333333333337E-2</v>
      </c>
      <c r="V13" s="6">
        <f t="shared" si="0"/>
        <v>5.6666666666666671E-2</v>
      </c>
      <c r="W13" s="6">
        <f t="shared" si="0"/>
        <v>6.0000000000000005E-2</v>
      </c>
      <c r="X13" s="6">
        <f t="shared" si="0"/>
        <v>6.3333333333333339E-2</v>
      </c>
      <c r="Y13" s="6">
        <f t="shared" si="0"/>
        <v>6.6666666666666666E-2</v>
      </c>
      <c r="Z13" s="6">
        <f t="shared" si="0"/>
        <v>6.9999999999999993E-2</v>
      </c>
      <c r="AA13" s="6">
        <f t="shared" si="0"/>
        <v>7.333333333333332E-2</v>
      </c>
      <c r="AB13" s="6">
        <f t="shared" si="0"/>
        <v>7.6666666666666647E-2</v>
      </c>
      <c r="AC13" s="6">
        <f t="shared" si="0"/>
        <v>7.9999999999999974E-2</v>
      </c>
      <c r="AD13" s="6">
        <f t="shared" si="0"/>
        <v>8.3333333333333301E-2</v>
      </c>
      <c r="AE13" s="6">
        <f t="shared" si="0"/>
        <v>8.6666666666666628E-2</v>
      </c>
      <c r="AF13" s="6">
        <f t="shared" si="0"/>
        <v>8.9999999999999955E-2</v>
      </c>
      <c r="AG13" s="6">
        <f t="shared" si="0"/>
        <v>9.3333333333333282E-2</v>
      </c>
      <c r="AH13" s="6">
        <f t="shared" si="0"/>
        <v>9.6666666666666609E-2</v>
      </c>
      <c r="AI13" s="6">
        <f t="shared" si="0"/>
        <v>9.9999999999999936E-2</v>
      </c>
    </row>
    <row r="14" spans="1:35" x14ac:dyDescent="0.3">
      <c r="D14" t="s">
        <v>7</v>
      </c>
      <c r="E14" s="7">
        <f>C12</f>
        <v>300</v>
      </c>
      <c r="F14" s="1">
        <v>293.33333331209622</v>
      </c>
      <c r="G14" s="1">
        <v>286.6666666246565</v>
      </c>
      <c r="H14" s="1">
        <v>279.99999993721673</v>
      </c>
      <c r="I14" s="1">
        <v>273.33333325114893</v>
      </c>
      <c r="J14" s="1">
        <v>266.66666656508119</v>
      </c>
      <c r="K14" s="1">
        <v>259.99999988123335</v>
      </c>
      <c r="L14" s="1">
        <v>253.33333319738551</v>
      </c>
      <c r="M14" s="1">
        <v>246.66666651650843</v>
      </c>
      <c r="N14" s="1">
        <v>239.99999983563134</v>
      </c>
      <c r="O14" s="1">
        <v>233.33333315834614</v>
      </c>
      <c r="P14" s="1">
        <v>226.6666664810609</v>
      </c>
      <c r="Q14" s="1">
        <v>219.99999980783161</v>
      </c>
      <c r="R14" s="1">
        <v>213.3333331346023</v>
      </c>
      <c r="S14" s="1">
        <v>206.66666646571574</v>
      </c>
      <c r="T14" s="1">
        <v>199.99999979682917</v>
      </c>
      <c r="U14" s="1">
        <v>193.33333313238239</v>
      </c>
      <c r="V14" s="1">
        <v>186.66666646793561</v>
      </c>
      <c r="W14" s="1">
        <v>179.99999980783159</v>
      </c>
      <c r="X14" s="1">
        <v>173.33333314772756</v>
      </c>
      <c r="Y14" s="1">
        <v>166.66666649167945</v>
      </c>
      <c r="Z14" s="1">
        <v>159.99999983563137</v>
      </c>
      <c r="AA14" s="1">
        <v>153.33333318317511</v>
      </c>
      <c r="AB14" s="1">
        <v>146.66666653071889</v>
      </c>
      <c r="AC14" s="1">
        <v>139.99999988123341</v>
      </c>
      <c r="AD14" s="1">
        <v>133.33333323174793</v>
      </c>
      <c r="AE14" s="1">
        <v>126.66666658448234</v>
      </c>
      <c r="AF14" s="1">
        <v>119.99999993721677</v>
      </c>
      <c r="AG14" s="1">
        <v>113.33333329132316</v>
      </c>
      <c r="AH14" s="1">
        <v>106.66666664542953</v>
      </c>
      <c r="AI14" s="3">
        <f>C13</f>
        <v>100</v>
      </c>
    </row>
    <row r="16" spans="1:35" x14ac:dyDescent="0.3">
      <c r="D16" t="s">
        <v>10</v>
      </c>
      <c r="F16" s="14">
        <f>F14+(($C$10*$C$5)/($C$9*$C$8))*((G14-2*F14+E14)/($C$4^2))</f>
        <v>293.33333331232825</v>
      </c>
      <c r="G16" s="14">
        <f t="shared" ref="G16:AH16" si="1">G14+(($C$10*$C$5)/($C$9*$C$8))*((H14-2*G14+F14)/($C$4^2))</f>
        <v>286.6666666246565</v>
      </c>
      <c r="H16" s="14">
        <f t="shared" si="1"/>
        <v>279.99999993790271</v>
      </c>
      <c r="I16" s="14">
        <f t="shared" si="1"/>
        <v>273.33333325114893</v>
      </c>
      <c r="J16" s="14">
        <f t="shared" si="1"/>
        <v>266.66666656619111</v>
      </c>
      <c r="K16" s="14">
        <f t="shared" si="1"/>
        <v>259.99999988123335</v>
      </c>
      <c r="L16" s="14">
        <f t="shared" si="1"/>
        <v>253.33333319887089</v>
      </c>
      <c r="M16" s="14">
        <f t="shared" si="1"/>
        <v>246.66666651650843</v>
      </c>
      <c r="N16" s="14">
        <f t="shared" si="1"/>
        <v>239.99999983742728</v>
      </c>
      <c r="O16" s="14">
        <f t="shared" si="1"/>
        <v>233.33333315834614</v>
      </c>
      <c r="P16" s="14">
        <f t="shared" si="1"/>
        <v>226.66666648308887</v>
      </c>
      <c r="Q16" s="14">
        <f t="shared" si="1"/>
        <v>219.99999980783161</v>
      </c>
      <c r="R16" s="14">
        <f t="shared" si="1"/>
        <v>213.33333313677366</v>
      </c>
      <c r="S16" s="14">
        <f t="shared" si="1"/>
        <v>206.66666646571574</v>
      </c>
      <c r="T16" s="14">
        <f t="shared" si="1"/>
        <v>199.99999979904908</v>
      </c>
      <c r="U16" s="14">
        <f t="shared" si="1"/>
        <v>193.33333313238239</v>
      </c>
      <c r="V16" s="14">
        <f t="shared" si="1"/>
        <v>186.66666647010697</v>
      </c>
      <c r="W16" s="14">
        <f t="shared" si="1"/>
        <v>179.99999980783159</v>
      </c>
      <c r="X16" s="14">
        <f t="shared" si="1"/>
        <v>173.3333331497555</v>
      </c>
      <c r="Y16" s="14">
        <f t="shared" si="1"/>
        <v>166.66666649167945</v>
      </c>
      <c r="Z16" s="14">
        <f t="shared" si="1"/>
        <v>159.99999983742728</v>
      </c>
      <c r="AA16" s="14">
        <f t="shared" si="1"/>
        <v>153.33333318317511</v>
      </c>
      <c r="AB16" s="14">
        <f t="shared" si="1"/>
        <v>146.66666653220426</v>
      </c>
      <c r="AC16" s="14">
        <f t="shared" si="1"/>
        <v>139.99999988123341</v>
      </c>
      <c r="AD16" s="14">
        <f t="shared" si="1"/>
        <v>133.33333323285788</v>
      </c>
      <c r="AE16" s="14">
        <f t="shared" si="1"/>
        <v>126.66666658448234</v>
      </c>
      <c r="AF16" s="14">
        <f t="shared" si="1"/>
        <v>119.99999993790274</v>
      </c>
      <c r="AG16" s="14">
        <f t="shared" si="1"/>
        <v>113.33333329132316</v>
      </c>
      <c r="AH16" s="14">
        <f t="shared" si="1"/>
        <v>106.66666664566158</v>
      </c>
    </row>
  </sheetData>
  <conditionalFormatting sqref="E14:AI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2021-09-07T11:41:01Z</dcterms:modified>
</cp:coreProperties>
</file>