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nna\Desktop\институт\3 курс\Механика сплошной среды\"/>
    </mc:Choice>
  </mc:AlternateContent>
  <bookViews>
    <workbookView xWindow="-25320" yWindow="270" windowWidth="25440" windowHeight="15390"/>
  </bookViews>
  <sheets>
    <sheet name="неявная схема" sheetId="1" r:id="rId1"/>
    <sheet name="явная схема" sheetId="2" r:id="rId2"/>
    <sheet name="Лист3" sheetId="3" r:id="rId3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C4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G15" i="2" l="1"/>
  <c r="Y15" i="2"/>
  <c r="Q15" i="2"/>
  <c r="I15" i="2"/>
  <c r="AF15" i="2"/>
  <c r="X15" i="2"/>
  <c r="P15" i="2"/>
  <c r="H15" i="2"/>
  <c r="AE15" i="2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C4" i="1"/>
  <c r="L20" i="1" s="1"/>
  <c r="AJ14" i="1"/>
  <c r="F19" i="1"/>
  <c r="C17" i="1"/>
  <c r="G20" i="1"/>
  <c r="H20" i="1"/>
  <c r="I20" i="1"/>
  <c r="J20" i="1"/>
  <c r="K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F20" i="1"/>
  <c r="C16" i="1"/>
  <c r="C15" i="1"/>
  <c r="G18" i="1" l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G19" i="1"/>
  <c r="C2" i="1"/>
  <c r="AH18" i="1" l="1"/>
  <c r="H19" i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I18" i="1" l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<sst xmlns="http://schemas.openxmlformats.org/spreadsheetml/2006/main" count="33" uniqueCount="20">
  <si>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</si>
  <si>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</si>
  <si>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</si>
  <si>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</si>
  <si>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</si>
  <si>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</si>
  <si>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</si>
  <si>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</si>
  <si>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</si>
  <si>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</si>
  <si>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</si>
  <si>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</si>
  <si>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</si>
  <si>
    <t>A</t>
  </si>
  <si>
    <t>B</t>
  </si>
  <si>
    <t>C</t>
  </si>
  <si>
    <t>q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</si>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</sst>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1" xfId="0" applyNumberFormat="1" applyBorder="1" applyAlignment="1">
      <alignment horizontal="center"/>
    </xf>
    <xf numFmtId="165" fontId="0" fillId="0" borderId="0" xfId="0" applyNumberFormat="1"/>
    <xf numFmtId="1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F6-44AE-8912-A5912F788248}"/>
            </c:ext>
          </c:extLst>
        </c:ser>
        <c:ser>
          <c:idx val="1"/>
          <c:order val="1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F6-44AE-8912-A5912F78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31"/>
              <c:pt idx="0">
                <c:v>0</c:v>
              </c:pt>
              <c:pt idx="1">
                <c:v>3.3333333333333335E-3</c:v>
              </c:pt>
              <c:pt idx="2">
                <c:v>6.6666666666666671E-3</c:v>
              </c:pt>
              <c:pt idx="3">
                <c:v>0.01</c:v>
              </c:pt>
              <c:pt idx="4">
                <c:v>1.3333333333333334E-2</c:v>
              </c:pt>
              <c:pt idx="5">
                <c:v>1.6666666666666666E-2</c:v>
              </c:pt>
              <c:pt idx="6">
                <c:v>0.02</c:v>
              </c:pt>
              <c:pt idx="7">
                <c:v>2.3333333333333334E-2</c:v>
              </c:pt>
              <c:pt idx="8">
                <c:v>2.6666666666666668E-2</c:v>
              </c:pt>
              <c:pt idx="9">
                <c:v>3.0000000000000002E-2</c:v>
              </c:pt>
              <c:pt idx="10">
                <c:v>3.3333333333333333E-2</c:v>
              </c:pt>
              <c:pt idx="11">
                <c:v>3.6666666666666667E-2</c:v>
              </c:pt>
              <c:pt idx="12">
                <c:v>0.04</c:v>
              </c:pt>
              <c:pt idx="13">
                <c:v>4.3333333333333335E-2</c:v>
              </c:pt>
              <c:pt idx="14">
                <c:v>4.6666666666666669E-2</c:v>
              </c:pt>
              <c:pt idx="15">
                <c:v>0.05</c:v>
              </c:pt>
              <c:pt idx="16">
                <c:v>5.3333333333333337E-2</c:v>
              </c:pt>
              <c:pt idx="17">
                <c:v>5.6666666666666671E-2</c:v>
              </c:pt>
              <c:pt idx="18">
                <c:v>6.0000000000000005E-2</c:v>
              </c:pt>
              <c:pt idx="19">
                <c:v>6.3333333333333339E-2</c:v>
              </c:pt>
              <c:pt idx="20">
                <c:v>6.6666666666666666E-2</c:v>
              </c:pt>
              <c:pt idx="21">
                <c:v>6.9999999999999993E-2</c:v>
              </c:pt>
              <c:pt idx="22">
                <c:v>7.333333333333332E-2</c:v>
              </c:pt>
              <c:pt idx="23">
                <c:v>7.6666666666666647E-2</c:v>
              </c:pt>
              <c:pt idx="24">
                <c:v>7.9999999999999974E-2</c:v>
              </c:pt>
              <c:pt idx="25">
                <c:v>8.3333333333333301E-2</c:v>
              </c:pt>
              <c:pt idx="26">
                <c:v>8.6666666666666628E-2</c:v>
              </c:pt>
              <c:pt idx="27">
                <c:v>8.9999999999999955E-2</c:v>
              </c:pt>
              <c:pt idx="28">
                <c:v>9.3333333333333282E-2</c:v>
              </c:pt>
              <c:pt idx="29">
                <c:v>9.6666666666666609E-2</c:v>
              </c:pt>
              <c:pt idx="30">
                <c:v>9.9999999999999936E-2</c:v>
              </c:pt>
            </c:numLit>
          </c:xVal>
          <c:yVal>
            <c:numLit>
              <c:formatCode>General</c:formatCode>
              <c:ptCount val="31"/>
              <c:pt idx="0">
                <c:v>300</c:v>
              </c:pt>
              <c:pt idx="1">
                <c:v>293.28624346693624</c:v>
              </c:pt>
              <c:pt idx="2">
                <c:v>286.57351596044163</c:v>
              </c:pt>
              <c:pt idx="3">
                <c:v>279.86078845394701</c:v>
              </c:pt>
              <c:pt idx="4">
                <c:v>273.15110305375981</c:v>
              </c:pt>
              <c:pt idx="5">
                <c:v>266.44141765357256</c:v>
              </c:pt>
              <c:pt idx="6">
                <c:v>259.73665448478408</c:v>
              </c:pt>
              <c:pt idx="7">
                <c:v>253.03189131599561</c:v>
              </c:pt>
              <c:pt idx="8">
                <c:v>246.33371537856041</c:v>
              </c:pt>
              <c:pt idx="9">
                <c:v>239.63553944112522</c:v>
              </c:pt>
              <c:pt idx="10">
                <c:v>232.9453278413726</c:v>
              </c:pt>
              <c:pt idx="11">
                <c:v>226.25511624161999</c:v>
              </c:pt>
              <c:pt idx="12">
                <c:v>219.57389800609968</c:v>
              </c:pt>
              <c:pt idx="13">
                <c:v>212.89267977057938</c:v>
              </c:pt>
              <c:pt idx="14">
                <c:v>206.22109087266466</c:v>
              </c:pt>
              <c:pt idx="15">
                <c:v>199.54950197474994</c:v>
              </c:pt>
              <c:pt idx="16">
                <c:v>192.88775753955161</c:v>
              </c:pt>
              <c:pt idx="17">
                <c:v>186.22601310435331</c:v>
              </c:pt>
              <c:pt idx="18">
                <c:v>179.57389800672252</c:v>
              </c:pt>
              <c:pt idx="19">
                <c:v>172.92178290909169</c:v>
              </c:pt>
              <c:pt idx="20">
                <c:v>166.2786611756236</c:v>
              </c:pt>
              <c:pt idx="21">
                <c:v>159.6355394421555</c:v>
              </c:pt>
              <c:pt idx="22">
                <c:v>153.00038204628092</c:v>
              </c:pt>
              <c:pt idx="23">
                <c:v>146.36522465040633</c:v>
              </c:pt>
              <c:pt idx="24">
                <c:v>139.73665448579186</c:v>
              </c:pt>
              <c:pt idx="25">
                <c:v>133.10808432117742</c:v>
              </c:pt>
              <c:pt idx="26">
                <c:v>126.48443638788059</c:v>
              </c:pt>
              <c:pt idx="27">
                <c:v>119.86078845458377</c:v>
              </c:pt>
              <c:pt idx="28">
                <c:v>113.24018262753927</c:v>
              </c:pt>
              <c:pt idx="29">
                <c:v>106.61957680049478</c:v>
              </c:pt>
              <c:pt idx="30">
                <c:v>100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999-462D-947D-376201D9C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23</xdr:row>
      <xdr:rowOff>102394</xdr:rowOff>
    </xdr:from>
    <xdr:to>
      <xdr:col>10</xdr:col>
      <xdr:colOff>476249</xdr:colOff>
      <xdr:row>43</xdr:row>
      <xdr:rowOff>102394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257175</xdr:colOff>
      <xdr:row>23</xdr:row>
      <xdr:rowOff>176212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2090738" y="4557712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2090738" y="4557712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16</xdr:col>
      <xdr:colOff>0</xdr:colOff>
      <xdr:row>25</xdr:row>
      <xdr:rowOff>0</xdr:rowOff>
    </xdr:from>
    <xdr:to>
      <xdr:col>25</xdr:col>
      <xdr:colOff>212406</xdr:colOff>
      <xdr:row>45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766150C-24FE-4618-A293-DBEC03123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16</xdr:col>
      <xdr:colOff>47625</xdr:colOff>
      <xdr:row>25</xdr:row>
      <xdr:rowOff>47625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9024938" y="48101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9024938" y="48101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178594</xdr:rowOff>
    </xdr:from>
    <xdr:to>
      <xdr:col>12</xdr:col>
      <xdr:colOff>476249</xdr:colOff>
      <xdr:row>35</xdr:row>
      <xdr:rowOff>178594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3E36C16-23A5-460D-A610-F023048BA9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11907</xdr:colOff>
      <xdr:row>16</xdr:row>
      <xdr:rowOff>47625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C6813F2-4850-4138-A82F-2F75E3829163}"/>
                </a:ext>
              </a:extLst>
            </xdr:cNvPr>
            <xdr:cNvSpPr txBox="1"/>
          </xdr:nvSpPr>
          <xdr:spPr>
            <a:xfrm>
              <a:off x="3090387" y="297370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C6813F2-4850-4138-A82F-2F75E3829163}"/>
                </a:ext>
              </a:extLst>
            </xdr:cNvPr>
            <xdr:cNvSpPr txBox="1"/>
          </xdr:nvSpPr>
          <xdr:spPr>
            <a:xfrm>
              <a:off x="3090387" y="297370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20"/>
  <sheetViews>
    <sheetView tabSelected="1" zoomScale="80" zoomScaleNormal="80" workbookViewId="0">
      <selection activeCell="Y8" sqref="Y8"/>
    </sheetView>
  </sheetViews>
  <sheetFormatPr defaultRowHeight="15" x14ac:dyDescent="0.25"/>
  <cols>
    <col min="3" max="3" width="9.28515625" customWidth="1"/>
    <col min="6" max="6" width="7.140625" customWidth="1"/>
    <col min="7" max="7" width="12.140625" customWidth="1"/>
    <col min="8" max="8" width="12.42578125" customWidth="1"/>
    <col min="9" max="36" width="7.140625" customWidth="1"/>
  </cols>
  <sheetData>
    <row r="1" spans="1:36" x14ac:dyDescent="0.25">
      <c r="B1" s="1" t="s">
        <v>0</v>
      </c>
      <c r="C1" s="1">
        <v>0.1</v>
      </c>
    </row>
    <row r="2" spans="1:36" x14ac:dyDescent="0.25">
      <c r="B2" s="1" t="s">
        <v>1</v>
      </c>
      <c r="C2" s="2">
        <f>C1/30</f>
        <v>3.3333333333333335E-3</v>
      </c>
    </row>
    <row r="3" spans="1:36" x14ac:dyDescent="0.25">
      <c r="B3" s="1" t="s">
        <v>3</v>
      </c>
      <c r="C3" s="10">
        <v>60</v>
      </c>
    </row>
    <row r="4" spans="1:36" x14ac:dyDescent="0.25">
      <c r="B4" s="1" t="s">
        <v>2</v>
      </c>
      <c r="C4" s="8">
        <f>(C8*C7*C2^2)/(2*C9)</f>
        <v>0.4333333333333334</v>
      </c>
      <c r="D4">
        <v>60.233333333333341</v>
      </c>
      <c r="G4" s="9">
        <f>C3/C4</f>
        <v>138.46153846153845</v>
      </c>
    </row>
    <row r="5" spans="1:36" x14ac:dyDescent="0.25">
      <c r="A5" s="5"/>
      <c r="B5" s="6"/>
      <c r="C5" s="6"/>
      <c r="D5" s="5"/>
    </row>
    <row r="7" spans="1:36" x14ac:dyDescent="0.25">
      <c r="B7" s="1" t="s">
        <v>4</v>
      </c>
      <c r="C7" s="1">
        <v>460</v>
      </c>
    </row>
    <row r="8" spans="1:36" x14ac:dyDescent="0.25">
      <c r="B8" s="1" t="s">
        <v>5</v>
      </c>
      <c r="C8" s="1">
        <v>7800</v>
      </c>
    </row>
    <row r="9" spans="1:36" x14ac:dyDescent="0.25">
      <c r="B9" s="1" t="s">
        <v>6</v>
      </c>
      <c r="C9" s="1">
        <v>46</v>
      </c>
    </row>
    <row r="10" spans="1:36" x14ac:dyDescent="0.25">
      <c r="B10" s="6"/>
      <c r="C10" s="6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25">
      <c r="E11" t="s">
        <v>0</v>
      </c>
      <c r="F11" s="3">
        <v>0</v>
      </c>
      <c r="G11" s="3">
        <f>F11+$C$2</f>
        <v>3.3333333333333335E-3</v>
      </c>
      <c r="H11" s="3">
        <f t="shared" ref="H11:AJ11" si="0">G11+$C$2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1:36" x14ac:dyDescent="0.25">
      <c r="B12" s="1" t="s">
        <v>9</v>
      </c>
      <c r="C12" s="1">
        <v>300</v>
      </c>
      <c r="E12" t="s">
        <v>7</v>
      </c>
      <c r="F12" s="4">
        <v>300</v>
      </c>
      <c r="G12" s="4">
        <v>280.20114262798575</v>
      </c>
      <c r="H12" s="4">
        <v>260.57053452366904</v>
      </c>
      <c r="I12" s="4">
        <v>241.27335396752636</v>
      </c>
      <c r="J12" s="4">
        <v>222.46874067679317</v>
      </c>
      <c r="K12" s="4">
        <v>204.30702925674697</v>
      </c>
      <c r="L12" s="4">
        <v>186.92727013670742</v>
      </c>
      <c r="M12" s="4">
        <v>170.45510875086381</v>
      </c>
      <c r="N12" s="4">
        <v>155.00107463428773</v>
      </c>
      <c r="O12" s="4">
        <v>140.65931099015722</v>
      </c>
      <c r="P12" s="4">
        <v>127.5067536180474</v>
      </c>
      <c r="Q12" s="4">
        <v>115.60274732960713</v>
      </c>
      <c r="R12" s="4">
        <v>104.98906943559072</v>
      </c>
      <c r="S12" s="4">
        <v>95.690314648076594</v>
      </c>
      <c r="T12" s="4">
        <v>87.714584570723446</v>
      </c>
      <c r="U12" s="4">
        <v>81.054418255410752</v>
      </c>
      <c r="V12" s="4">
        <v>75.68789812172092</v>
      </c>
      <c r="W12" s="4">
        <v>71.579867553261167</v>
      </c>
      <c r="X12" s="4">
        <v>68.68320209085141</v>
      </c>
      <c r="Y12" s="4">
        <v>66.940084503407604</v>
      </c>
      <c r="Z12" s="4">
        <v>66.283244166503039</v>
      </c>
      <c r="AA12" s="4">
        <v>66.637132112902975</v>
      </c>
      <c r="AB12" s="4">
        <v>67.919013891339318</v>
      </c>
      <c r="AC12" s="4">
        <v>70.039972168091296</v>
      </c>
      <c r="AD12" s="4">
        <v>72.905819217013814</v>
      </c>
      <c r="AE12" s="4">
        <v>76.417925689672472</v>
      </c>
      <c r="AF12" s="4">
        <v>80.473976208137344</v>
      </c>
      <c r="AG12" s="4">
        <v>84.968664482862408</v>
      </c>
      <c r="AH12" s="4">
        <v>89.794341128753075</v>
      </c>
      <c r="AI12" s="4">
        <v>94.841626578966242</v>
      </c>
      <c r="AJ12" s="4">
        <v>100</v>
      </c>
    </row>
    <row r="13" spans="1:36" x14ac:dyDescent="0.25">
      <c r="B13" s="1" t="s">
        <v>10</v>
      </c>
      <c r="C13" s="1">
        <v>100</v>
      </c>
    </row>
    <row r="14" spans="1:36" x14ac:dyDescent="0.25">
      <c r="E14" t="s">
        <v>8</v>
      </c>
      <c r="G14" s="4">
        <f t="shared" ref="G14:AH14" si="1">G18*H14+G19</f>
        <v>280.28451209215399</v>
      </c>
      <c r="H14" s="4">
        <f t="shared" si="1"/>
        <v>260.73576311264441</v>
      </c>
      <c r="I14" s="4">
        <f t="shared" si="1"/>
        <v>241.51747131108542</v>
      </c>
      <c r="J14" s="4">
        <f t="shared" si="1"/>
        <v>222.78741419664442</v>
      </c>
      <c r="K14" s="4">
        <f t="shared" si="1"/>
        <v>204.69470412190589</v>
      </c>
      <c r="L14" s="4">
        <f t="shared" si="1"/>
        <v>187.37734377748521</v>
      </c>
      <c r="M14" s="4">
        <f t="shared" si="1"/>
        <v>170.96013071462008</v>
      </c>
      <c r="N14" s="4">
        <f t="shared" si="1"/>
        <v>155.55296157926747</v>
      </c>
      <c r="O14" s="4">
        <f t="shared" si="1"/>
        <v>141.24956633387433</v>
      </c>
      <c r="P14" s="4">
        <f t="shared" si="1"/>
        <v>128.12668177591533</v>
      </c>
      <c r="Q14" s="4">
        <f t="shared" si="1"/>
        <v>116.24365353369214</v>
      </c>
      <c r="R14" s="4">
        <f t="shared" si="1"/>
        <v>105.64243769963892</v>
      </c>
      <c r="S14" s="4">
        <f t="shared" si="1"/>
        <v>96.347958393682063</v>
      </c>
      <c r="T14" s="4">
        <f t="shared" si="1"/>
        <v>88.368766578936132</v>
      </c>
      <c r="U14" s="4">
        <f t="shared" si="1"/>
        <v>81.697938780615559</v>
      </c>
      <c r="V14" s="4">
        <f t="shared" si="1"/>
        <v>76.314152032704555</v>
      </c>
      <c r="W14" s="4">
        <f t="shared" si="1"/>
        <v>72.182873106760752</v>
      </c>
      <c r="X14" s="4">
        <f t="shared" si="1"/>
        <v>69.257605287816148</v>
      </c>
      <c r="Y14" s="4">
        <f t="shared" si="1"/>
        <v>67.481143862800991</v>
      </c>
      <c r="Z14" s="4">
        <f t="shared" si="1"/>
        <v>66.786801156572579</v>
      </c>
      <c r="AA14" s="4">
        <f t="shared" si="1"/>
        <v>67.099572430483207</v>
      </c>
      <c r="AB14" s="4">
        <f t="shared" si="1"/>
        <v>68.337224339554268</v>
      </c>
      <c r="AC14" s="4">
        <f t="shared" si="1"/>
        <v>70.411297145055215</v>
      </c>
      <c r="AD14" s="4">
        <f t="shared" si="1"/>
        <v>73.228019904484</v>
      </c>
      <c r="AE14" s="4">
        <f t="shared" si="1"/>
        <v>76.689144038853158</v>
      </c>
      <c r="AF14" s="4">
        <f t="shared" si="1"/>
        <v>80.692704871583686</v>
      </c>
      <c r="AG14" s="4">
        <f t="shared" si="1"/>
        <v>85.13372303120687</v>
      </c>
      <c r="AH14" s="4">
        <f t="shared" si="1"/>
        <v>89.904858287518977</v>
      </c>
      <c r="AI14" s="4">
        <f>AI18*AJ14+AI19</f>
        <v>94.897027861362858</v>
      </c>
      <c r="AJ14" s="4">
        <f>AJ12</f>
        <v>100</v>
      </c>
    </row>
    <row r="15" spans="1:36" x14ac:dyDescent="0.25">
      <c r="B15" t="s">
        <v>13</v>
      </c>
      <c r="C15">
        <f>C9/(C2^2)</f>
        <v>4139999.9999999991</v>
      </c>
    </row>
    <row r="16" spans="1:36" x14ac:dyDescent="0.25">
      <c r="B16" t="s">
        <v>14</v>
      </c>
      <c r="C16">
        <f>(2*C9)/(C2^2)+(C8*C7)/C4</f>
        <v>16559999.999999996</v>
      </c>
      <c r="E16" t="s">
        <v>16</v>
      </c>
    </row>
    <row r="17" spans="2:35" x14ac:dyDescent="0.25">
      <c r="B17" t="s">
        <v>15</v>
      </c>
      <c r="C17">
        <f>C15</f>
        <v>4139999.9999999991</v>
      </c>
    </row>
    <row r="18" spans="2:35" x14ac:dyDescent="0.25">
      <c r="E18" t="s">
        <v>17</v>
      </c>
      <c r="F18">
        <v>0</v>
      </c>
      <c r="G18">
        <f>$C$15/($C$16-$C$17*F18)</f>
        <v>0.25</v>
      </c>
      <c r="H18">
        <f t="shared" ref="H18:AI18" si="2">$C$15/($C$16-$C$17*G18)</f>
        <v>0.26666666666666666</v>
      </c>
      <c r="I18">
        <f t="shared" si="2"/>
        <v>0.26785714285714285</v>
      </c>
      <c r="J18">
        <f t="shared" si="2"/>
        <v>0.26794258373205743</v>
      </c>
      <c r="K18">
        <f t="shared" si="2"/>
        <v>0.26794871794871794</v>
      </c>
      <c r="L18">
        <f t="shared" si="2"/>
        <v>0.26794915836482308</v>
      </c>
      <c r="M18">
        <f t="shared" si="2"/>
        <v>0.26794918998527245</v>
      </c>
      <c r="N18">
        <f t="shared" si="2"/>
        <v>0.26794919225551855</v>
      </c>
      <c r="O18">
        <f t="shared" si="2"/>
        <v>0.26794919241851489</v>
      </c>
      <c r="P18">
        <f t="shared" si="2"/>
        <v>0.26794919243021753</v>
      </c>
      <c r="Q18">
        <f t="shared" si="2"/>
        <v>0.26794919243105775</v>
      </c>
      <c r="R18">
        <f t="shared" si="2"/>
        <v>0.26794919243111803</v>
      </c>
      <c r="S18">
        <f t="shared" si="2"/>
        <v>0.26794919243112236</v>
      </c>
      <c r="T18">
        <f t="shared" si="2"/>
        <v>0.2679491924311227</v>
      </c>
      <c r="U18">
        <f t="shared" si="2"/>
        <v>0.2679491924311227</v>
      </c>
      <c r="V18">
        <f t="shared" si="2"/>
        <v>0.2679491924311227</v>
      </c>
      <c r="W18">
        <f t="shared" si="2"/>
        <v>0.2679491924311227</v>
      </c>
      <c r="X18">
        <f t="shared" si="2"/>
        <v>0.2679491924311227</v>
      </c>
      <c r="Y18">
        <f t="shared" si="2"/>
        <v>0.2679491924311227</v>
      </c>
      <c r="Z18">
        <f t="shared" si="2"/>
        <v>0.2679491924311227</v>
      </c>
      <c r="AA18">
        <f t="shared" si="2"/>
        <v>0.2679491924311227</v>
      </c>
      <c r="AB18">
        <f t="shared" si="2"/>
        <v>0.2679491924311227</v>
      </c>
      <c r="AC18">
        <f t="shared" si="2"/>
        <v>0.2679491924311227</v>
      </c>
      <c r="AD18">
        <f t="shared" si="2"/>
        <v>0.2679491924311227</v>
      </c>
      <c r="AE18">
        <f t="shared" si="2"/>
        <v>0.2679491924311227</v>
      </c>
      <c r="AF18">
        <f t="shared" si="2"/>
        <v>0.2679491924311227</v>
      </c>
      <c r="AG18">
        <f t="shared" si="2"/>
        <v>0.2679491924311227</v>
      </c>
      <c r="AH18">
        <f t="shared" si="2"/>
        <v>0.2679491924311227</v>
      </c>
      <c r="AI18">
        <f t="shared" si="2"/>
        <v>0.2679491924311227</v>
      </c>
    </row>
    <row r="19" spans="2:35" x14ac:dyDescent="0.25">
      <c r="E19" t="s">
        <v>18</v>
      </c>
      <c r="F19">
        <f>F12</f>
        <v>300</v>
      </c>
      <c r="G19">
        <f>(F19*$C$17-G20)/($C$16-$C$17*F18)</f>
        <v>215.1005713139929</v>
      </c>
      <c r="H19">
        <f t="shared" ref="H19:AI19" si="3">(G19*$C$17-H20)/($C$16-$C$17*G18)</f>
        <v>196.33110409635498</v>
      </c>
      <c r="I19">
        <f t="shared" si="3"/>
        <v>181.84227107984137</v>
      </c>
      <c r="J19">
        <f t="shared" si="3"/>
        <v>167.94098629795192</v>
      </c>
      <c r="K19">
        <f t="shared" si="3"/>
        <v>154.48718508409254</v>
      </c>
      <c r="L19">
        <f t="shared" si="3"/>
        <v>141.56872063856261</v>
      </c>
      <c r="M19">
        <f t="shared" si="3"/>
        <v>129.27984065964515</v>
      </c>
      <c r="N19">
        <f t="shared" si="3"/>
        <v>117.70525437366356</v>
      </c>
      <c r="O19">
        <f t="shared" si="3"/>
        <v>106.91812542475377</v>
      </c>
      <c r="P19">
        <f t="shared" si="3"/>
        <v>96.979288686424511</v>
      </c>
      <c r="Q19">
        <f t="shared" si="3"/>
        <v>87.936847665625564</v>
      </c>
      <c r="R19">
        <f t="shared" si="3"/>
        <v>79.826080055664846</v>
      </c>
      <c r="S19">
        <f t="shared" si="3"/>
        <v>72.669618752721775</v>
      </c>
      <c r="T19">
        <f t="shared" si="3"/>
        <v>66.477869859382892</v>
      </c>
      <c r="U19">
        <f t="shared" si="3"/>
        <v>61.249623372386452</v>
      </c>
      <c r="V19">
        <f t="shared" si="3"/>
        <v>56.972809476389799</v>
      </c>
      <c r="W19">
        <f t="shared" si="3"/>
        <v>53.625353700176966</v>
      </c>
      <c r="X19">
        <f t="shared" si="3"/>
        <v>51.176087285450215</v>
      </c>
      <c r="Y19">
        <f t="shared" si="3"/>
        <v>49.585674427839393</v>
      </c>
      <c r="Z19">
        <f t="shared" si="3"/>
        <v>48.807524911350974</v>
      </c>
      <c r="AA19">
        <f t="shared" si="3"/>
        <v>48.788668355715174</v>
      </c>
      <c r="AB19">
        <f t="shared" si="3"/>
        <v>49.470574131508911</v>
      </c>
      <c r="AC19">
        <f t="shared" si="3"/>
        <v>50.789908348318555</v>
      </c>
      <c r="AD19">
        <f t="shared" si="3"/>
        <v>52.679225691039257</v>
      </c>
      <c r="AE19">
        <f t="shared" si="3"/>
        <v>55.067598933429394</v>
      </c>
      <c r="AF19">
        <f t="shared" si="3"/>
        <v>57.881192536716931</v>
      </c>
      <c r="AG19">
        <f t="shared" si="3"/>
        <v>61.043788857431636</v>
      </c>
      <c r="AH19">
        <f t="shared" si="3"/>
        <v>64.477276307953048</v>
      </c>
      <c r="AI19">
        <f t="shared" si="3"/>
        <v>68.102108618250597</v>
      </c>
    </row>
    <row r="20" spans="2:35" x14ac:dyDescent="0.25">
      <c r="E20" t="s">
        <v>19</v>
      </c>
      <c r="F20">
        <f>-(($C$8*$C$7)/$C$4)*F12</f>
        <v>-2483999999.9999995</v>
      </c>
      <c r="G20">
        <f t="shared" ref="G20:AI20" si="4">-(($C$8*$C$7)/$C$4)*G12</f>
        <v>-2320065460.9597216</v>
      </c>
      <c r="H20">
        <f t="shared" si="4"/>
        <v>-2157524025.8559794</v>
      </c>
      <c r="I20">
        <f t="shared" si="4"/>
        <v>-1997743370.8511181</v>
      </c>
      <c r="J20">
        <f t="shared" si="4"/>
        <v>-1842041172.8038473</v>
      </c>
      <c r="K20">
        <f t="shared" si="4"/>
        <v>-1691662202.2458646</v>
      </c>
      <c r="L20">
        <f t="shared" si="4"/>
        <v>-1547757796.7319372</v>
      </c>
      <c r="M20">
        <f t="shared" si="4"/>
        <v>-1411368300.4571521</v>
      </c>
      <c r="N20">
        <f t="shared" si="4"/>
        <v>-1283408897.9719024</v>
      </c>
      <c r="O20">
        <f t="shared" si="4"/>
        <v>-1164659094.9985018</v>
      </c>
      <c r="P20">
        <f t="shared" si="4"/>
        <v>-1055755919.9574324</v>
      </c>
      <c r="Q20">
        <f t="shared" si="4"/>
        <v>-957190747.88914692</v>
      </c>
      <c r="R20">
        <f t="shared" si="4"/>
        <v>-869309494.92669106</v>
      </c>
      <c r="S20">
        <f t="shared" si="4"/>
        <v>-792315805.28607416</v>
      </c>
      <c r="T20">
        <f t="shared" si="4"/>
        <v>-726276760.24559009</v>
      </c>
      <c r="U20">
        <f t="shared" si="4"/>
        <v>-671130583.15480101</v>
      </c>
      <c r="V20">
        <f t="shared" si="4"/>
        <v>-626695796.44784915</v>
      </c>
      <c r="W20">
        <f t="shared" si="4"/>
        <v>-592681303.34100235</v>
      </c>
      <c r="X20">
        <f t="shared" si="4"/>
        <v>-568696913.31224966</v>
      </c>
      <c r="Y20">
        <f t="shared" si="4"/>
        <v>-554263899.6882149</v>
      </c>
      <c r="Z20">
        <f t="shared" si="4"/>
        <v>-548825261.69864511</v>
      </c>
      <c r="AA20">
        <f t="shared" si="4"/>
        <v>-551755453.89483654</v>
      </c>
      <c r="AB20">
        <f t="shared" si="4"/>
        <v>-562369435.02028954</v>
      </c>
      <c r="AC20">
        <f t="shared" si="4"/>
        <v>-579930969.55179584</v>
      </c>
      <c r="AD20">
        <f t="shared" si="4"/>
        <v>-603660183.11687434</v>
      </c>
      <c r="AE20">
        <f t="shared" si="4"/>
        <v>-632740424.71048796</v>
      </c>
      <c r="AF20">
        <f t="shared" si="4"/>
        <v>-666324523.00337708</v>
      </c>
      <c r="AG20">
        <f t="shared" si="4"/>
        <v>-703540541.91810071</v>
      </c>
      <c r="AH20">
        <f t="shared" si="4"/>
        <v>-743497144.54607534</v>
      </c>
      <c r="AI20">
        <f t="shared" si="4"/>
        <v>-785288668.07384038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5"/>
  <sheetViews>
    <sheetView workbookViewId="0">
      <selection activeCell="Q23" sqref="Q23"/>
    </sheetView>
  </sheetViews>
  <sheetFormatPr defaultRowHeight="15" x14ac:dyDescent="0.25"/>
  <cols>
    <col min="3" max="3" width="9.28515625" customWidth="1"/>
    <col min="6" max="6" width="7.140625" customWidth="1"/>
    <col min="7" max="7" width="12.140625" customWidth="1"/>
    <col min="8" max="8" width="12.42578125" customWidth="1"/>
    <col min="9" max="36" width="7.140625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2">
        <f>C3/30</f>
        <v>3.3333333333333335E-3</v>
      </c>
    </row>
    <row r="5" spans="2:36" x14ac:dyDescent="0.25">
      <c r="B5" s="1" t="s">
        <v>2</v>
      </c>
      <c r="C5" s="2">
        <f>(C9*C8*C4^2)/(2*C10)</f>
        <v>0.4333333333333334</v>
      </c>
    </row>
    <row r="6" spans="2:36" x14ac:dyDescent="0.25">
      <c r="B6" s="1" t="s">
        <v>3</v>
      </c>
      <c r="C6" s="1">
        <v>60</v>
      </c>
      <c r="D6">
        <v>60.233333333333341</v>
      </c>
    </row>
    <row r="7" spans="2:36" x14ac:dyDescent="0.25">
      <c r="B7" s="4"/>
      <c r="C7" s="4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10</v>
      </c>
      <c r="C13" s="1">
        <v>100</v>
      </c>
      <c r="E13" t="s">
        <v>7</v>
      </c>
      <c r="F13" s="4">
        <v>300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100</v>
      </c>
    </row>
    <row r="14" spans="2:36" x14ac:dyDescent="0.25">
      <c r="B14" s="7" t="s">
        <v>12</v>
      </c>
      <c r="C14">
        <v>1000</v>
      </c>
    </row>
    <row r="15" spans="2:36" x14ac:dyDescent="0.25">
      <c r="B15" t="s">
        <v>11</v>
      </c>
      <c r="C15">
        <v>392</v>
      </c>
      <c r="E15" t="s">
        <v>8</v>
      </c>
      <c r="G15" s="4">
        <f>G13+(($C$10*$C$5)/($C$9*$C$8))*((H13-2*G13+F13)/($C$4^2))</f>
        <v>150</v>
      </c>
      <c r="H15" s="4">
        <f t="shared" ref="H15:AI15" si="1">H13+(($C$10*$C$5)/($C$9*$C$8))*((I13-2*H13+G13)/($C$4^2))</f>
        <v>0</v>
      </c>
      <c r="I15" s="4">
        <f t="shared" si="1"/>
        <v>0</v>
      </c>
      <c r="J15" s="4">
        <f t="shared" si="1"/>
        <v>0</v>
      </c>
      <c r="K15" s="4">
        <f t="shared" si="1"/>
        <v>0</v>
      </c>
      <c r="L15" s="4">
        <f t="shared" si="1"/>
        <v>0</v>
      </c>
      <c r="M15" s="4">
        <f t="shared" si="1"/>
        <v>0</v>
      </c>
      <c r="N15" s="4">
        <f t="shared" si="1"/>
        <v>0</v>
      </c>
      <c r="O15" s="4">
        <f t="shared" si="1"/>
        <v>0</v>
      </c>
      <c r="P15" s="4">
        <f t="shared" si="1"/>
        <v>0</v>
      </c>
      <c r="Q15" s="4">
        <f t="shared" si="1"/>
        <v>0</v>
      </c>
      <c r="R15" s="4">
        <f t="shared" si="1"/>
        <v>0</v>
      </c>
      <c r="S15" s="4">
        <f t="shared" si="1"/>
        <v>0</v>
      </c>
      <c r="T15" s="4">
        <f t="shared" si="1"/>
        <v>0</v>
      </c>
      <c r="U15" s="4">
        <f t="shared" si="1"/>
        <v>0</v>
      </c>
      <c r="V15" s="4">
        <f t="shared" si="1"/>
        <v>0</v>
      </c>
      <c r="W15" s="4">
        <f t="shared" si="1"/>
        <v>0</v>
      </c>
      <c r="X15" s="4">
        <f t="shared" si="1"/>
        <v>0</v>
      </c>
      <c r="Y15" s="4">
        <f t="shared" si="1"/>
        <v>0</v>
      </c>
      <c r="Z15" s="4">
        <f t="shared" si="1"/>
        <v>0</v>
      </c>
      <c r="AA15" s="4">
        <f t="shared" si="1"/>
        <v>0</v>
      </c>
      <c r="AB15" s="4">
        <f t="shared" si="1"/>
        <v>0</v>
      </c>
      <c r="AC15" s="4">
        <f t="shared" si="1"/>
        <v>0</v>
      </c>
      <c r="AD15" s="4">
        <f t="shared" si="1"/>
        <v>0</v>
      </c>
      <c r="AE15" s="4">
        <f t="shared" si="1"/>
        <v>0</v>
      </c>
      <c r="AF15" s="4">
        <f t="shared" si="1"/>
        <v>0</v>
      </c>
      <c r="AG15" s="4">
        <f t="shared" si="1"/>
        <v>0</v>
      </c>
      <c r="AH15" s="4">
        <f t="shared" si="1"/>
        <v>0</v>
      </c>
      <c r="AI15" s="4">
        <f t="shared" si="1"/>
        <v>50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неявная схема</vt:lpstr>
      <vt:lpstr>явная схема</vt:lpstr>
      <vt:lpstr>Лист3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</dc:creator>
  <cp:lastModifiedBy>Anna</cp:lastModifiedBy>
  <dcterms:created xsi:type="dcterms:W3CDTF">2021-09-07T10:42:55Z</dcterms:created>
  <dcterms:modified xsi:type="dcterms:W3CDTF">2021-10-17T16:11:26Z</dcterms:modified>
</cp:coreProperties>
</file>