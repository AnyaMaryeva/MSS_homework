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evs\Desktop\"/>
    </mc:Choice>
  </mc:AlternateContent>
  <xr:revisionPtr revIDLastSave="0" documentId="8_{07B8A2A2-2B20-4585-AC0B-22EF0BDF208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  <sheet name="Лист2" sheetId="2" r:id="rId2"/>
    <sheet name="Лист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  <c r="C4" i="1" l="1"/>
  <c r="G12" i="1" l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C5" i="1"/>
</calcChain>
</file>

<file path=xl/sharedStrings.xml><?xml version="1.0" encoding="utf-8"?>
<sst xmlns="http://schemas.openxmlformats.org/spreadsheetml/2006/main" count="14" uniqueCount="13">
  <si>
    <t>L</t>
  </si>
  <si>
    <t>dx</t>
  </si>
  <si>
    <t>dt</t>
  </si>
  <si>
    <t>t</t>
  </si>
  <si>
    <t>Cp</t>
  </si>
  <si>
    <t>ro</t>
  </si>
  <si>
    <t>lamda</t>
  </si>
  <si>
    <t>T</t>
  </si>
  <si>
    <t>T_iter</t>
  </si>
  <si>
    <t>T_start</t>
  </si>
  <si>
    <t>T_end</t>
  </si>
  <si>
    <t>t_gas</t>
  </si>
  <si>
    <t>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</si>
</sst>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293.28624346693624</c:v>
                </c:pt>
                <c:pt idx="2">
                  <c:v>286.57351596044163</c:v>
                </c:pt>
                <c:pt idx="3">
                  <c:v>279.86078845394701</c:v>
                </c:pt>
                <c:pt idx="4">
                  <c:v>273.15110305375981</c:v>
                </c:pt>
                <c:pt idx="5">
                  <c:v>266.44141765357256</c:v>
                </c:pt>
                <c:pt idx="6">
                  <c:v>259.73665448478408</c:v>
                </c:pt>
                <c:pt idx="7">
                  <c:v>253.03189131599561</c:v>
                </c:pt>
                <c:pt idx="8">
                  <c:v>246.33371537856041</c:v>
                </c:pt>
                <c:pt idx="9">
                  <c:v>239.63553944112522</c:v>
                </c:pt>
                <c:pt idx="10">
                  <c:v>232.9453278413726</c:v>
                </c:pt>
                <c:pt idx="11">
                  <c:v>226.25511624161999</c:v>
                </c:pt>
                <c:pt idx="12">
                  <c:v>219.57389800609968</c:v>
                </c:pt>
                <c:pt idx="13">
                  <c:v>212.89267977057938</c:v>
                </c:pt>
                <c:pt idx="14">
                  <c:v>206.22109087266466</c:v>
                </c:pt>
                <c:pt idx="15">
                  <c:v>199.54950197474994</c:v>
                </c:pt>
                <c:pt idx="16">
                  <c:v>192.88775753955161</c:v>
                </c:pt>
                <c:pt idx="17">
                  <c:v>186.22601310435331</c:v>
                </c:pt>
                <c:pt idx="18">
                  <c:v>179.57389800672252</c:v>
                </c:pt>
                <c:pt idx="19">
                  <c:v>172.92178290909169</c:v>
                </c:pt>
                <c:pt idx="20">
                  <c:v>166.2786611756236</c:v>
                </c:pt>
                <c:pt idx="21">
                  <c:v>159.6355394421555</c:v>
                </c:pt>
                <c:pt idx="22">
                  <c:v>153.00038204628092</c:v>
                </c:pt>
                <c:pt idx="23">
                  <c:v>146.36522465040633</c:v>
                </c:pt>
                <c:pt idx="24">
                  <c:v>139.73665448579186</c:v>
                </c:pt>
                <c:pt idx="25">
                  <c:v>133.10808432117742</c:v>
                </c:pt>
                <c:pt idx="26">
                  <c:v>126.48443638788059</c:v>
                </c:pt>
                <c:pt idx="27">
                  <c:v>119.86078845458377</c:v>
                </c:pt>
                <c:pt idx="28">
                  <c:v>113.24018262753927</c:v>
                </c:pt>
                <c:pt idx="29">
                  <c:v>106.61957680049478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0C-4A15-AF25-253277F05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60960"/>
        <c:axId val="91162496"/>
      </c:scatterChart>
      <c:valAx>
        <c:axId val="9116096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2496"/>
        <c:crosses val="autoZero"/>
        <c:crossBetween val="midCat"/>
      </c:valAx>
      <c:valAx>
        <c:axId val="91162496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15</xdr:row>
      <xdr:rowOff>178594</xdr:rowOff>
    </xdr:from>
    <xdr:to>
      <xdr:col>12</xdr:col>
      <xdr:colOff>476249</xdr:colOff>
      <xdr:row>35</xdr:row>
      <xdr:rowOff>178594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11907</xdr:colOff>
      <xdr:row>16</xdr:row>
      <xdr:rowOff>47625</xdr:rowOff>
    </xdr:from>
    <xdr:ext cx="452438" cy="416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3059907" y="309562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3059907" y="309562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3:AJ15"/>
  <sheetViews>
    <sheetView tabSelected="1" topLeftCell="C1" zoomScale="80" zoomScaleNormal="80" workbookViewId="0">
      <selection activeCell="G15" sqref="G15"/>
    </sheetView>
  </sheetViews>
  <sheetFormatPr defaultRowHeight="14.4" x14ac:dyDescent="0.3"/>
  <cols>
    <col min="3" max="3" width="9.33203125" customWidth="1"/>
    <col min="6" max="6" width="7.109375" customWidth="1"/>
    <col min="7" max="7" width="12.109375" customWidth="1"/>
    <col min="8" max="8" width="12.44140625" customWidth="1"/>
    <col min="9" max="36" width="7.109375" customWidth="1"/>
  </cols>
  <sheetData>
    <row r="3" spans="1:36" x14ac:dyDescent="0.3">
      <c r="B3" s="1" t="s">
        <v>0</v>
      </c>
      <c r="C3" s="1">
        <v>0.1</v>
      </c>
    </row>
    <row r="4" spans="1:36" x14ac:dyDescent="0.3">
      <c r="B4" s="1" t="s">
        <v>1</v>
      </c>
      <c r="C4" s="2">
        <f>C3/30</f>
        <v>3.3333333333333335E-3</v>
      </c>
    </row>
    <row r="5" spans="1:36" x14ac:dyDescent="0.3">
      <c r="B5" s="1" t="s">
        <v>2</v>
      </c>
      <c r="C5" s="2">
        <f>(C9*C8*C4^2)/(2*C10)</f>
        <v>0.4333333333333334</v>
      </c>
    </row>
    <row r="6" spans="1:36" x14ac:dyDescent="0.3">
      <c r="B6" s="1" t="s">
        <v>3</v>
      </c>
      <c r="C6" s="1">
        <v>500</v>
      </c>
      <c r="D6">
        <v>500.06666666666672</v>
      </c>
    </row>
    <row r="7" spans="1:36" x14ac:dyDescent="0.3">
      <c r="A7" s="5"/>
      <c r="B7" s="6"/>
      <c r="C7" s="6"/>
      <c r="D7" s="5"/>
    </row>
    <row r="8" spans="1:36" x14ac:dyDescent="0.3">
      <c r="B8" s="1" t="s">
        <v>4</v>
      </c>
      <c r="C8" s="1">
        <v>460</v>
      </c>
    </row>
    <row r="9" spans="1:36" x14ac:dyDescent="0.3">
      <c r="B9" s="1" t="s">
        <v>5</v>
      </c>
      <c r="C9" s="1">
        <v>7800</v>
      </c>
    </row>
    <row r="10" spans="1:36" x14ac:dyDescent="0.3">
      <c r="B10" s="1" t="s">
        <v>6</v>
      </c>
      <c r="C10" s="1">
        <v>46</v>
      </c>
    </row>
    <row r="11" spans="1:36" x14ac:dyDescent="0.3">
      <c r="B11" s="6"/>
      <c r="C11" s="6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3">
      <c r="B12" s="1" t="s">
        <v>9</v>
      </c>
      <c r="C12" s="1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1:36" x14ac:dyDescent="0.3">
      <c r="B13" s="1" t="s">
        <v>10</v>
      </c>
      <c r="C13" s="1">
        <v>100</v>
      </c>
      <c r="E13" t="s">
        <v>7</v>
      </c>
      <c r="F13" s="4">
        <v>300</v>
      </c>
      <c r="G13" s="4">
        <v>293.28624346693624</v>
      </c>
      <c r="H13" s="4">
        <v>286.57351596044163</v>
      </c>
      <c r="I13" s="4">
        <v>279.86078845394701</v>
      </c>
      <c r="J13" s="4">
        <v>273.15110305375981</v>
      </c>
      <c r="K13" s="4">
        <v>266.44141765357256</v>
      </c>
      <c r="L13" s="4">
        <v>259.73665448478408</v>
      </c>
      <c r="M13" s="4">
        <v>253.03189131599561</v>
      </c>
      <c r="N13" s="4">
        <v>246.33371537856041</v>
      </c>
      <c r="O13" s="4">
        <v>239.63553944112522</v>
      </c>
      <c r="P13" s="4">
        <v>232.9453278413726</v>
      </c>
      <c r="Q13" s="4">
        <v>226.25511624161999</v>
      </c>
      <c r="R13" s="4">
        <v>219.57389800609968</v>
      </c>
      <c r="S13" s="4">
        <v>212.89267977057938</v>
      </c>
      <c r="T13" s="4">
        <v>206.22109087266466</v>
      </c>
      <c r="U13" s="4">
        <v>199.54950197474994</v>
      </c>
      <c r="V13" s="4">
        <v>192.88775753955161</v>
      </c>
      <c r="W13" s="4">
        <v>186.22601310435331</v>
      </c>
      <c r="X13" s="4">
        <v>179.57389800672252</v>
      </c>
      <c r="Y13" s="4">
        <v>172.92178290909169</v>
      </c>
      <c r="Z13" s="4">
        <v>166.2786611756236</v>
      </c>
      <c r="AA13" s="4">
        <v>159.6355394421555</v>
      </c>
      <c r="AB13" s="4">
        <v>153.00038204628092</v>
      </c>
      <c r="AC13" s="4">
        <v>146.36522465040633</v>
      </c>
      <c r="AD13" s="4">
        <v>139.73665448579186</v>
      </c>
      <c r="AE13" s="4">
        <v>133.10808432117742</v>
      </c>
      <c r="AF13" s="4">
        <v>126.48443638788059</v>
      </c>
      <c r="AG13" s="4">
        <v>119.86078845458377</v>
      </c>
      <c r="AH13" s="4">
        <v>113.24018262753927</v>
      </c>
      <c r="AI13" s="4">
        <v>106.61957680049478</v>
      </c>
      <c r="AJ13" s="4">
        <v>100</v>
      </c>
    </row>
    <row r="14" spans="1:36" x14ac:dyDescent="0.3">
      <c r="B14" s="7" t="s">
        <v>12</v>
      </c>
      <c r="C14">
        <v>1000</v>
      </c>
    </row>
    <row r="15" spans="1:36" x14ac:dyDescent="0.3">
      <c r="B15" t="s">
        <v>11</v>
      </c>
      <c r="C15">
        <v>392</v>
      </c>
      <c r="E15" t="s">
        <v>8</v>
      </c>
      <c r="G15" s="4">
        <f>G13+(($C$10*$C$5)/($C$9*$C$8))*((H13-2*G13+F13)/($C$4^2))</f>
        <v>293.28675798022084</v>
      </c>
      <c r="H15" s="4">
        <f t="shared" ref="H15:AI15" si="1">H13+(($C$10*$C$5)/($C$9*$C$8))*((I13-2*H13+G13)/($C$4^2))</f>
        <v>286.57351596044163</v>
      </c>
      <c r="I15" s="4">
        <f t="shared" si="1"/>
        <v>279.86230950710069</v>
      </c>
      <c r="J15" s="4">
        <f t="shared" si="1"/>
        <v>273.15110305375981</v>
      </c>
      <c r="K15" s="4">
        <f t="shared" si="1"/>
        <v>266.44387876927192</v>
      </c>
      <c r="L15" s="4">
        <f t="shared" si="1"/>
        <v>259.73665448478408</v>
      </c>
      <c r="M15" s="4">
        <f t="shared" si="1"/>
        <v>253.03518493167226</v>
      </c>
      <c r="N15" s="4">
        <f t="shared" si="1"/>
        <v>246.33371537856041</v>
      </c>
      <c r="O15" s="4">
        <f t="shared" si="1"/>
        <v>239.63952160996649</v>
      </c>
      <c r="P15" s="4">
        <f t="shared" si="1"/>
        <v>232.9453278413726</v>
      </c>
      <c r="Q15" s="4">
        <f t="shared" si="1"/>
        <v>226.25961292373614</v>
      </c>
      <c r="R15" s="4">
        <f t="shared" si="1"/>
        <v>219.57389800609968</v>
      </c>
      <c r="S15" s="4">
        <f t="shared" si="1"/>
        <v>212.89749443938217</v>
      </c>
      <c r="T15" s="4">
        <f t="shared" si="1"/>
        <v>206.22109087266466</v>
      </c>
      <c r="U15" s="4">
        <f t="shared" si="1"/>
        <v>199.55442420610814</v>
      </c>
      <c r="V15" s="4">
        <f t="shared" si="1"/>
        <v>192.88775753955161</v>
      </c>
      <c r="W15" s="4">
        <f t="shared" si="1"/>
        <v>186.23082777313707</v>
      </c>
      <c r="X15" s="4">
        <f t="shared" si="1"/>
        <v>179.57389800672252</v>
      </c>
      <c r="Y15" s="4">
        <f t="shared" si="1"/>
        <v>172.92627959117306</v>
      </c>
      <c r="Z15" s="4">
        <f t="shared" si="1"/>
        <v>166.2786611756236</v>
      </c>
      <c r="AA15" s="4">
        <f t="shared" si="1"/>
        <v>159.63952161095227</v>
      </c>
      <c r="AB15" s="4">
        <f t="shared" si="1"/>
        <v>153.00038204628092</v>
      </c>
      <c r="AC15" s="4">
        <f t="shared" si="1"/>
        <v>146.3685182660364</v>
      </c>
      <c r="AD15" s="4">
        <f t="shared" si="1"/>
        <v>139.73665448579186</v>
      </c>
      <c r="AE15" s="4">
        <f t="shared" si="1"/>
        <v>133.11054543683622</v>
      </c>
      <c r="AF15" s="4">
        <f t="shared" si="1"/>
        <v>126.48443638788059</v>
      </c>
      <c r="AG15" s="4">
        <f t="shared" si="1"/>
        <v>119.86230950770994</v>
      </c>
      <c r="AH15" s="4">
        <f t="shared" si="1"/>
        <v>113.24018262753927</v>
      </c>
      <c r="AI15" s="4">
        <f t="shared" si="1"/>
        <v>106.62009131376963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</dc:creator>
  <cp:lastModifiedBy>evs</cp:lastModifiedBy>
  <dcterms:created xsi:type="dcterms:W3CDTF">2021-09-07T10:42:55Z</dcterms:created>
  <dcterms:modified xsi:type="dcterms:W3CDTF">2021-10-15T07:45:58Z</dcterms:modified>
</cp:coreProperties>
</file>